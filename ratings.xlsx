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mc:AlternateContent xmlns:mc="http://schemas.openxmlformats.org/markup-compatibility/2006">
    <mc:Choice Requires="x15">
      <x15ac:absPath xmlns:x15ac="http://schemas.microsoft.com/office/spreadsheetml/2010/11/ac" url="/Users/connoryoung/Desktop/"/>
    </mc:Choice>
  </mc:AlternateContent>
  <xr:revisionPtr revIDLastSave="0" documentId="13_ncr:1_{9C34E4E1-FE42-8A47-B322-D778B38DAC44}" xr6:coauthVersionLast="47" xr6:coauthVersionMax="47" xr10:uidLastSave="{00000000-0000-0000-0000-000000000000}"/>
  <bookViews>
    <workbookView xWindow="0" yWindow="500" windowWidth="33600" windowHeight="18900" xr2:uid="{00000000-000D-0000-FFFF-FFFF00000000}"/>
  </bookViews>
  <sheets>
    <sheet name="Rating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6" i="1" l="1"/>
  <c r="M15" i="1"/>
  <c r="M14" i="1"/>
  <c r="M13" i="1"/>
  <c r="M12" i="1"/>
  <c r="M11" i="1"/>
  <c r="M10" i="1"/>
  <c r="M9" i="1"/>
  <c r="M8" i="1"/>
  <c r="M7" i="1"/>
  <c r="M6" i="1"/>
  <c r="M5" i="1"/>
  <c r="M4" i="1"/>
  <c r="M3" i="1"/>
  <c r="M2" i="1"/>
</calcChain>
</file>

<file path=xl/sharedStrings.xml><?xml version="1.0" encoding="utf-8"?>
<sst xmlns="http://schemas.openxmlformats.org/spreadsheetml/2006/main" count="131" uniqueCount="94">
  <si>
    <t>Query ID</t>
  </si>
  <si>
    <t>Suggested query</t>
  </si>
  <si>
    <t>Result position</t>
  </si>
  <si>
    <t>Observed date</t>
  </si>
  <si>
    <t>Search context</t>
  </si>
  <si>
    <t>User intent</t>
  </si>
  <si>
    <t>Result URL</t>
  </si>
  <si>
    <t>Page title</t>
  </si>
  <si>
    <t>Intent match (0–3)</t>
  </si>
  <si>
    <t>Credibility (0–3)</t>
  </si>
  <si>
    <t>Accuracy / freshness (0–2)</t>
  </si>
  <si>
    <t>Usefulness (0–2)</t>
  </si>
  <si>
    <t>Total (0–10)</t>
  </si>
  <si>
    <t>Rating justification</t>
  </si>
  <si>
    <t>Verification evidence / limits</t>
  </si>
  <si>
    <t>Status</t>
  </si>
  <si>
    <t>Q01</t>
  </si>
  <si>
    <t>how to take a screenshot on a Mac</t>
  </si>
  <si>
    <t>Q02</t>
  </si>
  <si>
    <t>how to reset the SMC on an Intel MacBook Pro</t>
  </si>
  <si>
    <t>Q03</t>
  </si>
  <si>
    <t>Windows 11 connected to Wi-Fi but no internet</t>
  </si>
  <si>
    <t>Q04</t>
  </si>
  <si>
    <t>how to enable two-factor authentication on GitHub</t>
  </si>
  <si>
    <t>Q05</t>
  </si>
  <si>
    <t>Raleigh public library opening hours</t>
  </si>
  <si>
    <t>Find clear instructions for taking a screenshot on Mac</t>
  </si>
  <si>
    <t>https://support.apple.com/en-us/102646</t>
  </si>
  <si>
    <t>"Take a screenshot on Mac"</t>
  </si>
  <si>
    <t>Complete</t>
  </si>
  <si>
    <t>Capturing the image currently on screen of your Apple laptop / desktop in MacOS</t>
  </si>
  <si>
    <t>Information straight from the developer Apple. Includes multiple different keystrokes and options for recording a screenshot, including partial and full screenshots. Included a video tutorial.</t>
  </si>
  <si>
    <t>All keystrokes suggested worked as intended.</t>
  </si>
  <si>
    <t>https://www.reddit.com/r/mac/comments/1nbwahk/how_to_screen_shot_easier_with_mac_anyway_to_make/</t>
  </si>
  <si>
    <t>"How to screenshot easier with Mac? (Anyway to make like Windows?"</t>
  </si>
  <si>
    <t>Intent in the supplied Reddit forum post was not exactly what the user was searching for; I had little need to change the keystroke I just needed to know what the keystroke was.  The supplied webpage overcomplicated what was a simple answer and query.</t>
  </si>
  <si>
    <t>The one keystroke suggested worked as intended.</t>
  </si>
  <si>
    <t>https://www.take-a-screenshot.org/mac.html</t>
  </si>
  <si>
    <t>"How to take a screenshot on a Mac"</t>
  </si>
  <si>
    <t>Information was accurate and useful for the context of the query. Webpage inlcuded a video tutorial, but was not natively played from the website and redirected to YouTube. Also suggested keystroke for partial screenshot.</t>
  </si>
  <si>
    <t>Both keystrokes suggested worked as intended.</t>
  </si>
  <si>
    <t>Find clear instruction on how to reset the Systems Management Controller (SMC) on an Intel Macbook Pro</t>
  </si>
  <si>
    <t>Most likely to resolve a bug or recurring battery issue on the user's device</t>
  </si>
  <si>
    <t>https://discussions.apple.com/thread/252258776?sortBy=rank</t>
  </si>
  <si>
    <t>"Reset smc"</t>
  </si>
  <si>
    <t>Directed straight to the Apple Community page with someone who had a similar issue. But had to search the replies to find the actual redirect link to Apple Web Support. A little bit of a longer pathway to the developer answer.</t>
  </si>
  <si>
    <t>Answers suggested multiple different methods. The redirect link directly to Apple Web Support had the correct method.</t>
  </si>
  <si>
    <t>https://www.ifixit.com/Wiki/How_to_reset_the_SMC_on_a_Mac</t>
  </si>
  <si>
    <t>"How to Reset the SMC on a Mac"</t>
  </si>
  <si>
    <t>Correct methodology and information presented concisely and immediately upon loading the webpage. Surprisingly easier to follow than Apple's own supplied support webpage.</t>
  </si>
  <si>
    <t>Suggested SMC reset process worked as intended.</t>
  </si>
  <si>
    <t>https://www.reddit.com/r/mac/comments/d94ybe/how_do_you_do_an_smc_reset_on_a_13_inch_mid2012/</t>
  </si>
  <si>
    <t>"How do you do an SMC Reset on a 13 inch Mid-2012 Macbook Pro? (A1278)</t>
  </si>
  <si>
    <t>The forum webpage was for a very specific Macbook that the search user might not necessarily have. Reply section indicated multiple methods to try.</t>
  </si>
  <si>
    <t>Misleading information and inconclusive methodology.</t>
  </si>
  <si>
    <t>Diagnose technical issue with home computer not connecting to Internet</t>
  </si>
  <si>
    <t>Trying to determine why their computer has no Internet connection despite being connected to a WiFi network</t>
  </si>
  <si>
    <t>https://learn.microsoft.com/en-us/answers/questions/5822708/wifi-is-connected-but-says-no-internet-connection</t>
  </si>
  <si>
    <t>"Wifi is connected but says no internet connection"</t>
  </si>
  <si>
    <t>Directed straight to Windows Support Page with other users having similar issues. The answer supplied covered a broad range of possible problems.</t>
  </si>
  <si>
    <t>Unable to verify without a Windows 11 OS loaded.</t>
  </si>
  <si>
    <t>https://www.reddit.com/r/computerhelp/comments/1sd18qo/fix_windows_11_wifi_connected_but_still_shows_no/</t>
  </si>
  <si>
    <t>"[Fix] Windows 11 WiFi connected but still shows "No Internet" on every network</t>
  </si>
  <si>
    <t>The forum webpage was not for a simple issue - the user had a significantly complicated network problem and the supplied answers were much too in-depth for as small an issue as the search user likely had.</t>
  </si>
  <si>
    <t>https://support.microsoft.com/en-us/windows/experience/connectivity-networking/fix-wi-fi-connection-issues-in-windows</t>
  </si>
  <si>
    <t>"Fix Wi-Fi connection issues in Windows"</t>
  </si>
  <si>
    <t>Directly opened the Windows Support page. Had clear and easy to follow instructions for how to fix the issue the search user was likely having.</t>
  </si>
  <si>
    <t>Trying to determine how to turn on higher security settings on a personal GitHub account</t>
  </si>
  <si>
    <t>User likely has been using GitHub for a project either personal/work that they want to keep secure</t>
  </si>
  <si>
    <t>https://docs.github.com/en/authentication/securing-your-account-with-two-factor-authentication-2fa/configuring-two-factor-authentication</t>
  </si>
  <si>
    <t>"Configuring two-factor authentication"</t>
  </si>
  <si>
    <t>Information was supplied directly by the GitHub support team. Included comprehensive coverage and problem solving for other potential roadblocks in setting up 2FA.</t>
  </si>
  <si>
    <t>Correctly provided methodology.</t>
  </si>
  <si>
    <t>"How do you enable GitHub 2FA"</t>
  </si>
  <si>
    <t>https://github.com/orgs/community/discussions/75939</t>
  </si>
  <si>
    <t>Directed to a GitHub forum page. One of the responses was a simplified version of the answer supplied on the GitHub support page. Gave the right information but not a lot of answers to help with further clarification.</t>
  </si>
  <si>
    <t>Provided a simple, concise answer.</t>
  </si>
  <si>
    <t>https://www.geeksforgeeks.org/git/configuring-two-factor-authentication-in-github/</t>
  </si>
  <si>
    <t>"Configuring Two-Factor Athentication in Github"</t>
  </si>
  <si>
    <t>Information was even more comprehensive and easy to follow than the GitHub support page.  Supplied answer walked the search user through every step and potential pitfall. But linked heavily back to the GitHub support page.</t>
  </si>
  <si>
    <t>Trying to determine the hours of operation for the Raleigh library</t>
  </si>
  <si>
    <t>Mostly likely user is trying to access books / public computers to use at the public library</t>
  </si>
  <si>
    <t>https://www.wake.gov/departments-government/libraries/locations/north-regional-library</t>
  </si>
  <si>
    <t>"North Regional Library | Wake Country Government"</t>
  </si>
  <si>
    <t>Linked directly to the state government page for the library, including other redirects for possible follow up queries and library departments.</t>
  </si>
  <si>
    <t>Direct state government source.</t>
  </si>
  <si>
    <t>https://www.shopvillagedistrict.com/stores/wake-county-public-library/</t>
  </si>
  <si>
    <t>"Wake County Public Library - Village District"</t>
  </si>
  <si>
    <t>Supplied answer was from a local shopping center that I can only assume includes the public library. Basic usage and hours were privided but nothing beyond that exept for a link to the state government library page.</t>
  </si>
  <si>
    <t>Local source with state government hyperlinks to verify hours.</t>
  </si>
  <si>
    <t>https://www.yelp.com/biz/wake-county-public-library-north-regional-branch-raleigh</t>
  </si>
  <si>
    <t>"Wake Country Public Library, North Regional Branch Photos"</t>
  </si>
  <si>
    <t>Directed to the library Yelp page. Hours were correctly stated, but there was also a lot of irrelevant photos and user reviews that clouded the basic information that was requested.</t>
  </si>
  <si>
    <t>Yelp page supplied the official library website link to verify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</si>
</sst>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sz val="11"/>
      <color rgb="FF233044"/>
      <name val="Arial"/>
    </font>
    <font>
      <b/>
      <sz val="11"/>
      <color rgb="FFFFFFFF"/>
      <name val="Arial"/>
    </font>
    <font>
      <sz val="11"/>
      <color rgb="FF233044"/>
      <name val="Arial"/>
      <family val="2"/>
    </font>
    <font>
      <u/>
      <sz val="11"/>
      <color theme="10"/>
      <name val="Carlito"/>
    </font>
  </fonts>
  <fills count="5">
    <fill>
      <patternFill patternType="none"/>
    </fill>
    <fill>
      <patternFill patternType="gray125"/>
    </fill>
    <fill>
      <patternFill patternType="solid">
        <fgColor rgb="FF25364B"/>
      </patternFill>
    </fill>
    <fill>
      <patternFill patternType="solid">
        <fgColor rgb="FFFFF8E4"/>
      </patternFill>
    </fill>
    <fill>
      <patternFill patternType="solid">
        <fgColor rgb="FFEAF0F5"/>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9">
    <xf numFmtId="0" fontId="0" fillId="0" borderId="0" xfId="0"/>
    <xf numFmtId="0" fontId="1" fillId="0" borderId="0" xfId="0" applyFont="1" applyAlignment="1">
      <alignment vertical="top" wrapText="1"/>
    </xf>
    <xf numFmtId="0" fontId="2" fillId="2" borderId="0" xfId="0" applyFont="1" applyFill="1" applyAlignment="1">
      <alignment horizontal="center" vertical="center" wrapText="1"/>
    </xf>
    <xf numFmtId="0" fontId="1" fillId="3" borderId="0" xfId="0" applyFont="1" applyFill="1" applyAlignment="1">
      <alignment vertical="top" wrapText="1"/>
    </xf>
    <xf numFmtId="164" fontId="1" fillId="3" borderId="0" xfId="0" applyNumberFormat="1" applyFont="1" applyFill="1" applyAlignment="1">
      <alignment vertical="top" wrapText="1"/>
    </xf>
    <xf numFmtId="1" fontId="1" fillId="3" borderId="0" xfId="0" applyNumberFormat="1" applyFont="1" applyFill="1" applyAlignment="1">
      <alignment vertical="top" wrapText="1"/>
    </xf>
    <xf numFmtId="1" fontId="1" fillId="4" borderId="0" xfId="0" applyNumberFormat="1" applyFont="1" applyFill="1" applyAlignment="1">
      <alignment vertical="top" wrapText="1"/>
    </xf>
    <xf numFmtId="0" fontId="3" fillId="3" borderId="0" xfId="0" applyFont="1" applyFill="1" applyAlignment="1">
      <alignment vertical="top" wrapText="1"/>
    </xf>
    <xf numFmtId="0" fontId="4" fillId="3" borderId="0" xfId="1" applyFill="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tingsTable" displayName="RatingsTable" ref="A1:P16" totalsRowShown="0">
  <tableColumns count="16">
    <tableColumn id="1" xr3:uid="{00000000-0010-0000-0000-000001000000}" name="Query ID"/>
    <tableColumn id="2" xr3:uid="{00000000-0010-0000-0000-000002000000}" name="Suggested query"/>
    <tableColumn id="3" xr3:uid="{00000000-0010-0000-0000-000003000000}" name="Result position"/>
    <tableColumn id="4" xr3:uid="{00000000-0010-0000-0000-000004000000}" name="Observed date"/>
    <tableColumn id="5" xr3:uid="{00000000-0010-0000-0000-000005000000}" name="Search context"/>
    <tableColumn id="6" xr3:uid="{00000000-0010-0000-0000-000006000000}" name="User intent"/>
    <tableColumn id="7" xr3:uid="{00000000-0010-0000-0000-000007000000}" name="Result URL"/>
    <tableColumn id="8" xr3:uid="{00000000-0010-0000-0000-000008000000}" name="Page title"/>
    <tableColumn id="9" xr3:uid="{00000000-0010-0000-0000-000009000000}" name="Intent match (0–3)"/>
    <tableColumn id="10" xr3:uid="{00000000-0010-0000-0000-00000A000000}" name="Credibility (0–3)"/>
    <tableColumn id="11" xr3:uid="{00000000-0010-0000-0000-00000B000000}" name="Accuracy / freshness (0–2)"/>
    <tableColumn id="12" xr3:uid="{00000000-0010-0000-0000-00000C000000}" name="Usefulness (0–2)"/>
    <tableColumn id="13" xr3:uid="{00000000-0010-0000-0000-00000D000000}" name="Total (0–10)"/>
    <tableColumn id="14" xr3:uid="{00000000-0010-0000-0000-00000E000000}" name="Rating justification"/>
    <tableColumn id="15" xr3:uid="{00000000-0010-0000-0000-00000F000000}" name="Verification evidence / limits"/>
    <tableColumn id="16" xr3:uid="{00000000-0010-0000-0000-00001000000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reddit.com/r/computerhelp/comments/1sd18qo/fix_windows_11_wifi_connected_but_still_shows_no/" TargetMode="External"/><Relationship Id="rId13" Type="http://schemas.openxmlformats.org/officeDocument/2006/relationships/hyperlink" Target="https://www.wake.gov/departments-government/libraries/locations/north-regional-library" TargetMode="External"/><Relationship Id="rId3" Type="http://schemas.openxmlformats.org/officeDocument/2006/relationships/hyperlink" Target="https://discussions.apple.com/thread/252258776?sortBy=rank" TargetMode="External"/><Relationship Id="rId7" Type="http://schemas.openxmlformats.org/officeDocument/2006/relationships/hyperlink" Target="https://learn.microsoft.com/en-us/answers/questions/5822708/wifi-is-connected-but-says-no-internet-connection" TargetMode="External"/><Relationship Id="rId12" Type="http://schemas.openxmlformats.org/officeDocument/2006/relationships/hyperlink" Target="https://www.geeksforgeeks.org/git/configuring-two-factor-authentication-in-github/" TargetMode="External"/><Relationship Id="rId2" Type="http://schemas.openxmlformats.org/officeDocument/2006/relationships/hyperlink" Target="https://www.reddit.com/r/mac/comments/1nbwahk/how_to_screen_shot_easier_with_mac_anyway_to_make/" TargetMode="External"/><Relationship Id="rId16" Type="http://schemas.openxmlformats.org/officeDocument/2006/relationships/table" Target="../tables/table1.xml"/><Relationship Id="rId1" Type="http://schemas.openxmlformats.org/officeDocument/2006/relationships/hyperlink" Target="https://support.apple.com/en-us/102646" TargetMode="External"/><Relationship Id="rId6" Type="http://schemas.openxmlformats.org/officeDocument/2006/relationships/hyperlink" Target="https://www.reddit.com/r/mac/comments/d94ybe/how_do_you_do_an_smc_reset_on_a_13_inch_mid2012/" TargetMode="External"/><Relationship Id="rId11" Type="http://schemas.openxmlformats.org/officeDocument/2006/relationships/hyperlink" Target="https://github.com/orgs/community/discussions/75939" TargetMode="External"/><Relationship Id="rId5" Type="http://schemas.openxmlformats.org/officeDocument/2006/relationships/hyperlink" Target="https://www.ifixit.com/Wiki/How_to_reset_the_SMC_on_a_Mac" TargetMode="External"/><Relationship Id="rId15" Type="http://schemas.openxmlformats.org/officeDocument/2006/relationships/hyperlink" Target="https://www.yelp.com/biz/wake-county-public-library-north-regional-branch-raleigh" TargetMode="External"/><Relationship Id="rId10" Type="http://schemas.openxmlformats.org/officeDocument/2006/relationships/hyperlink" Target="https://docs.github.com/en/authentication/securing-your-account-with-two-factor-authentication-2fa/configuring-two-factor-authentication" TargetMode="External"/><Relationship Id="rId4" Type="http://schemas.openxmlformats.org/officeDocument/2006/relationships/hyperlink" Target="https://www.take-a-screenshot.org/mac.html" TargetMode="External"/><Relationship Id="rId9" Type="http://schemas.openxmlformats.org/officeDocument/2006/relationships/hyperlink" Target="https://support.microsoft.com/en-us/windows/experience/connectivity-networking/fix-wi-fi-connection-issues-in-windows" TargetMode="External"/><Relationship Id="rId14" Type="http://schemas.openxmlformats.org/officeDocument/2006/relationships/hyperlink" Target="https://www.shopvillagedistrict.com/stores/wake-county-public-librar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6"/>
  <sheetViews>
    <sheetView showGridLines="0" tabSelected="1" workbookViewId="0">
      <pane xSplit="2" ySplit="1" topLeftCell="C2" activePane="bottomRight" state="frozen"/>
      <selection pane="topRight"/>
      <selection pane="bottomLeft"/>
      <selection pane="bottomRight" activeCell="B5" sqref="B5"/>
    </sheetView>
  </sheetViews>
  <sheetFormatPr baseColWidth="10" defaultColWidth="8.83203125" defaultRowHeight="15"/>
  <cols>
    <col min="1" max="1" width="12" customWidth="1"/>
    <col min="2" max="2" width="49" customWidth="1"/>
    <col min="3" max="3" width="12" customWidth="1"/>
    <col min="4" max="4" width="16" customWidth="1"/>
    <col min="5" max="5" width="35" customWidth="1"/>
    <col min="6" max="6" width="42" customWidth="1"/>
    <col min="7" max="7" width="44" customWidth="1"/>
    <col min="8" max="8" width="35" customWidth="1"/>
    <col min="9" max="10" width="14" customWidth="1"/>
    <col min="11" max="11" width="17" customWidth="1"/>
    <col min="12" max="12" width="15" customWidth="1"/>
    <col min="13" max="13" width="14" customWidth="1"/>
    <col min="14" max="14" width="65" customWidth="1"/>
    <col min="15" max="15" width="60" customWidth="1"/>
    <col min="16" max="16" width="19" customWidth="1"/>
  </cols>
  <sheetData>
    <row r="1" spans="1:16" ht="6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row>
    <row r="2" spans="1:16" ht="46" customHeight="1">
      <c r="A2" s="1" t="s">
        <v>16</v>
      </c>
      <c r="B2" s="1" t="s">
        <v>17</v>
      </c>
      <c r="C2" s="1">
        <v>1</v>
      </c>
      <c r="D2" s="4">
        <v>46322</v>
      </c>
      <c r="E2" s="7" t="s">
        <v>26</v>
      </c>
      <c r="F2" s="7" t="s">
        <v>30</v>
      </c>
      <c r="G2" s="8" t="s">
        <v>27</v>
      </c>
      <c r="H2" s="7" t="s">
        <v>28</v>
      </c>
      <c r="I2" s="5">
        <v>3</v>
      </c>
      <c r="J2" s="5">
        <v>3</v>
      </c>
      <c r="K2" s="5">
        <v>2</v>
      </c>
      <c r="L2" s="5">
        <v>2</v>
      </c>
      <c r="M2" s="6">
        <f t="shared" ref="M2:M16" si="0">IF(COUNT(I2:L2)=4,SUM(I2:L2),"")</f>
        <v>10</v>
      </c>
      <c r="N2" s="7" t="s">
        <v>31</v>
      </c>
      <c r="O2" s="7" t="s">
        <v>32</v>
      </c>
      <c r="P2" s="3" t="s">
        <v>29</v>
      </c>
    </row>
    <row r="3" spans="1:16" ht="46" customHeight="1">
      <c r="A3" s="1" t="s">
        <v>16</v>
      </c>
      <c r="B3" s="1" t="s">
        <v>17</v>
      </c>
      <c r="C3" s="1">
        <v>2</v>
      </c>
      <c r="D3" s="4">
        <v>46322</v>
      </c>
      <c r="E3" s="3"/>
      <c r="F3" s="3"/>
      <c r="G3" s="8" t="s">
        <v>33</v>
      </c>
      <c r="H3" s="7" t="s">
        <v>34</v>
      </c>
      <c r="I3" s="5">
        <v>2</v>
      </c>
      <c r="J3" s="5">
        <v>2</v>
      </c>
      <c r="K3" s="5">
        <v>2</v>
      </c>
      <c r="L3" s="5">
        <v>1</v>
      </c>
      <c r="M3" s="6">
        <f t="shared" si="0"/>
        <v>7</v>
      </c>
      <c r="N3" s="7" t="s">
        <v>35</v>
      </c>
      <c r="O3" s="7" t="s">
        <v>36</v>
      </c>
      <c r="P3" s="3" t="s">
        <v>29</v>
      </c>
    </row>
    <row r="4" spans="1:16" ht="46" customHeight="1">
      <c r="A4" s="1" t="s">
        <v>16</v>
      </c>
      <c r="B4" s="1" t="s">
        <v>17</v>
      </c>
      <c r="C4" s="1">
        <v>3</v>
      </c>
      <c r="D4" s="4">
        <v>46322</v>
      </c>
      <c r="E4" s="3"/>
      <c r="F4" s="3"/>
      <c r="G4" s="8" t="s">
        <v>37</v>
      </c>
      <c r="H4" s="7" t="s">
        <v>38</v>
      </c>
      <c r="I4" s="5">
        <v>3</v>
      </c>
      <c r="J4" s="5">
        <v>2</v>
      </c>
      <c r="K4" s="5">
        <v>2</v>
      </c>
      <c r="L4" s="5">
        <v>2</v>
      </c>
      <c r="M4" s="6">
        <f t="shared" si="0"/>
        <v>9</v>
      </c>
      <c r="N4" s="7" t="s">
        <v>39</v>
      </c>
      <c r="O4" s="7" t="s">
        <v>40</v>
      </c>
      <c r="P4" s="3" t="s">
        <v>29</v>
      </c>
    </row>
    <row r="5" spans="1:16" ht="46" customHeight="1">
      <c r="A5" s="1" t="s">
        <v>18</v>
      </c>
      <c r="B5" s="1" t="s">
        <v>19</v>
      </c>
      <c r="C5" s="1">
        <v>1</v>
      </c>
      <c r="D5" s="4">
        <v>46322</v>
      </c>
      <c r="E5" s="7" t="s">
        <v>41</v>
      </c>
      <c r="F5" s="7" t="s">
        <v>42</v>
      </c>
      <c r="G5" s="8" t="s">
        <v>43</v>
      </c>
      <c r="H5" s="7" t="s">
        <v>44</v>
      </c>
      <c r="I5" s="5">
        <v>3</v>
      </c>
      <c r="J5" s="5">
        <v>2</v>
      </c>
      <c r="K5" s="5">
        <v>1</v>
      </c>
      <c r="L5" s="5">
        <v>1</v>
      </c>
      <c r="M5" s="6">
        <f t="shared" si="0"/>
        <v>7</v>
      </c>
      <c r="N5" s="7" t="s">
        <v>45</v>
      </c>
      <c r="O5" s="7" t="s">
        <v>46</v>
      </c>
      <c r="P5" s="3" t="s">
        <v>29</v>
      </c>
    </row>
    <row r="6" spans="1:16" ht="46" customHeight="1">
      <c r="A6" s="1" t="s">
        <v>18</v>
      </c>
      <c r="B6" s="1" t="s">
        <v>19</v>
      </c>
      <c r="C6" s="1">
        <v>2</v>
      </c>
      <c r="D6" s="4">
        <v>46322</v>
      </c>
      <c r="E6" s="3"/>
      <c r="F6" s="3"/>
      <c r="G6" s="8" t="s">
        <v>47</v>
      </c>
      <c r="H6" s="7" t="s">
        <v>48</v>
      </c>
      <c r="I6" s="5">
        <v>3</v>
      </c>
      <c r="J6" s="5">
        <v>3</v>
      </c>
      <c r="K6" s="5">
        <v>2</v>
      </c>
      <c r="L6" s="5">
        <v>2</v>
      </c>
      <c r="M6" s="6">
        <f t="shared" si="0"/>
        <v>10</v>
      </c>
      <c r="N6" s="7" t="s">
        <v>49</v>
      </c>
      <c r="O6" s="7" t="s">
        <v>50</v>
      </c>
      <c r="P6" s="3" t="s">
        <v>29</v>
      </c>
    </row>
    <row r="7" spans="1:16" ht="46" customHeight="1">
      <c r="A7" s="1" t="s">
        <v>18</v>
      </c>
      <c r="B7" s="1" t="s">
        <v>19</v>
      </c>
      <c r="C7" s="1">
        <v>3</v>
      </c>
      <c r="D7" s="4">
        <v>46322</v>
      </c>
      <c r="E7" s="3"/>
      <c r="F7" s="3"/>
      <c r="G7" s="8" t="s">
        <v>51</v>
      </c>
      <c r="H7" s="7" t="s">
        <v>52</v>
      </c>
      <c r="I7" s="5">
        <v>2</v>
      </c>
      <c r="J7" s="5">
        <v>1</v>
      </c>
      <c r="K7" s="5">
        <v>1</v>
      </c>
      <c r="L7" s="5">
        <v>0</v>
      </c>
      <c r="M7" s="6">
        <f t="shared" si="0"/>
        <v>4</v>
      </c>
      <c r="N7" s="7" t="s">
        <v>53</v>
      </c>
      <c r="O7" s="7" t="s">
        <v>54</v>
      </c>
      <c r="P7" s="3" t="s">
        <v>29</v>
      </c>
    </row>
    <row r="8" spans="1:16" ht="46" customHeight="1">
      <c r="A8" s="1" t="s">
        <v>20</v>
      </c>
      <c r="B8" s="1" t="s">
        <v>21</v>
      </c>
      <c r="C8" s="1">
        <v>1</v>
      </c>
      <c r="D8" s="4">
        <v>46322</v>
      </c>
      <c r="E8" s="7" t="s">
        <v>55</v>
      </c>
      <c r="F8" s="7" t="s">
        <v>56</v>
      </c>
      <c r="G8" s="8" t="s">
        <v>57</v>
      </c>
      <c r="H8" s="7" t="s">
        <v>58</v>
      </c>
      <c r="I8" s="5">
        <v>3</v>
      </c>
      <c r="J8" s="5">
        <v>3</v>
      </c>
      <c r="K8" s="5">
        <v>2</v>
      </c>
      <c r="L8" s="5">
        <v>2</v>
      </c>
      <c r="M8" s="6">
        <f t="shared" si="0"/>
        <v>10</v>
      </c>
      <c r="N8" s="7" t="s">
        <v>59</v>
      </c>
      <c r="O8" s="7" t="s">
        <v>60</v>
      </c>
      <c r="P8" s="3" t="s">
        <v>29</v>
      </c>
    </row>
    <row r="9" spans="1:16" ht="46" customHeight="1">
      <c r="A9" s="1" t="s">
        <v>20</v>
      </c>
      <c r="B9" s="1" t="s">
        <v>21</v>
      </c>
      <c r="C9" s="1">
        <v>2</v>
      </c>
      <c r="D9" s="4">
        <v>46322</v>
      </c>
      <c r="E9" s="3"/>
      <c r="F9" s="3"/>
      <c r="G9" s="8" t="s">
        <v>61</v>
      </c>
      <c r="H9" s="7" t="s">
        <v>62</v>
      </c>
      <c r="I9" s="5">
        <v>3</v>
      </c>
      <c r="J9" s="5">
        <v>2</v>
      </c>
      <c r="K9" s="5">
        <v>1</v>
      </c>
      <c r="L9" s="5">
        <v>0</v>
      </c>
      <c r="M9" s="6">
        <f t="shared" si="0"/>
        <v>6</v>
      </c>
      <c r="N9" s="7" t="s">
        <v>63</v>
      </c>
      <c r="O9" s="7" t="s">
        <v>60</v>
      </c>
      <c r="P9" s="3" t="s">
        <v>29</v>
      </c>
    </row>
    <row r="10" spans="1:16" ht="46" customHeight="1">
      <c r="A10" s="1" t="s">
        <v>20</v>
      </c>
      <c r="B10" s="1" t="s">
        <v>21</v>
      </c>
      <c r="C10" s="1">
        <v>3</v>
      </c>
      <c r="D10" s="4">
        <v>46322</v>
      </c>
      <c r="E10" s="3"/>
      <c r="F10" s="3"/>
      <c r="G10" s="8" t="s">
        <v>64</v>
      </c>
      <c r="H10" s="7" t="s">
        <v>65</v>
      </c>
      <c r="I10" s="5">
        <v>3</v>
      </c>
      <c r="J10" s="5">
        <v>3</v>
      </c>
      <c r="K10" s="5">
        <v>2</v>
      </c>
      <c r="L10" s="5">
        <v>2</v>
      </c>
      <c r="M10" s="6">
        <f t="shared" si="0"/>
        <v>10</v>
      </c>
      <c r="N10" s="7" t="s">
        <v>66</v>
      </c>
      <c r="O10" s="7" t="s">
        <v>60</v>
      </c>
      <c r="P10" s="3" t="s">
        <v>29</v>
      </c>
    </row>
    <row r="11" spans="1:16" ht="46" customHeight="1">
      <c r="A11" s="1" t="s">
        <v>22</v>
      </c>
      <c r="B11" s="1" t="s">
        <v>23</v>
      </c>
      <c r="C11" s="1">
        <v>1</v>
      </c>
      <c r="D11" s="4">
        <v>46322</v>
      </c>
      <c r="E11" s="7" t="s">
        <v>67</v>
      </c>
      <c r="F11" s="7" t="s">
        <v>68</v>
      </c>
      <c r="G11" s="8" t="s">
        <v>69</v>
      </c>
      <c r="H11" s="7" t="s">
        <v>70</v>
      </c>
      <c r="I11" s="5">
        <v>3</v>
      </c>
      <c r="J11" s="5">
        <v>3</v>
      </c>
      <c r="K11" s="5">
        <v>2</v>
      </c>
      <c r="L11" s="5">
        <v>2</v>
      </c>
      <c r="M11" s="6">
        <f t="shared" si="0"/>
        <v>10</v>
      </c>
      <c r="N11" s="7" t="s">
        <v>71</v>
      </c>
      <c r="O11" s="7" t="s">
        <v>72</v>
      </c>
      <c r="P11" s="3" t="s">
        <v>29</v>
      </c>
    </row>
    <row r="12" spans="1:16" ht="46" customHeight="1">
      <c r="A12" s="1" t="s">
        <v>22</v>
      </c>
      <c r="B12" s="1" t="s">
        <v>23</v>
      </c>
      <c r="C12" s="1">
        <v>2</v>
      </c>
      <c r="D12" s="4">
        <v>46322</v>
      </c>
      <c r="E12" s="3"/>
      <c r="F12" s="3"/>
      <c r="G12" s="8" t="s">
        <v>74</v>
      </c>
      <c r="H12" s="7" t="s">
        <v>73</v>
      </c>
      <c r="I12" s="5">
        <v>3</v>
      </c>
      <c r="J12" s="5">
        <v>2</v>
      </c>
      <c r="K12" s="5">
        <v>1</v>
      </c>
      <c r="L12" s="5">
        <v>2</v>
      </c>
      <c r="M12" s="6">
        <f t="shared" si="0"/>
        <v>8</v>
      </c>
      <c r="N12" s="7" t="s">
        <v>75</v>
      </c>
      <c r="O12" s="7" t="s">
        <v>76</v>
      </c>
      <c r="P12" s="3" t="s">
        <v>29</v>
      </c>
    </row>
    <row r="13" spans="1:16" ht="46" customHeight="1">
      <c r="A13" s="1" t="s">
        <v>22</v>
      </c>
      <c r="B13" s="1" t="s">
        <v>23</v>
      </c>
      <c r="C13" s="1">
        <v>3</v>
      </c>
      <c r="D13" s="4">
        <v>46322</v>
      </c>
      <c r="E13" s="3"/>
      <c r="F13" s="3"/>
      <c r="G13" s="8" t="s">
        <v>77</v>
      </c>
      <c r="H13" s="7" t="s">
        <v>78</v>
      </c>
      <c r="I13" s="5">
        <v>3</v>
      </c>
      <c r="J13" s="5">
        <v>2</v>
      </c>
      <c r="K13" s="5">
        <v>2</v>
      </c>
      <c r="L13" s="5">
        <v>2</v>
      </c>
      <c r="M13" s="6">
        <f t="shared" si="0"/>
        <v>9</v>
      </c>
      <c r="N13" s="7" t="s">
        <v>79</v>
      </c>
      <c r="O13" s="7" t="s">
        <v>72</v>
      </c>
      <c r="P13" s="3" t="s">
        <v>29</v>
      </c>
    </row>
    <row r="14" spans="1:16" ht="46" customHeight="1">
      <c r="A14" s="1" t="s">
        <v>24</v>
      </c>
      <c r="B14" s="1" t="s">
        <v>25</v>
      </c>
      <c r="C14" s="1">
        <v>1</v>
      </c>
      <c r="D14" s="4">
        <v>46322</v>
      </c>
      <c r="E14" s="7" t="s">
        <v>80</v>
      </c>
      <c r="F14" s="7" t="s">
        <v>81</v>
      </c>
      <c r="G14" s="8" t="s">
        <v>82</v>
      </c>
      <c r="H14" s="7" t="s">
        <v>83</v>
      </c>
      <c r="I14" s="5">
        <v>3</v>
      </c>
      <c r="J14" s="5">
        <v>3</v>
      </c>
      <c r="K14" s="5">
        <v>2</v>
      </c>
      <c r="L14" s="5">
        <v>2</v>
      </c>
      <c r="M14" s="6">
        <f t="shared" si="0"/>
        <v>10</v>
      </c>
      <c r="N14" s="7" t="s">
        <v>84</v>
      </c>
      <c r="O14" s="7" t="s">
        <v>85</v>
      </c>
      <c r="P14" s="3" t="s">
        <v>29</v>
      </c>
    </row>
    <row r="15" spans="1:16" ht="46" customHeight="1">
      <c r="A15" s="1" t="s">
        <v>24</v>
      </c>
      <c r="B15" s="1" t="s">
        <v>25</v>
      </c>
      <c r="C15" s="1">
        <v>2</v>
      </c>
      <c r="D15" s="4">
        <v>46322</v>
      </c>
      <c r="E15" s="3"/>
      <c r="F15" s="3"/>
      <c r="G15" s="8" t="s">
        <v>86</v>
      </c>
      <c r="H15" s="7" t="s">
        <v>87</v>
      </c>
      <c r="I15" s="5">
        <v>3</v>
      </c>
      <c r="J15" s="5">
        <v>2</v>
      </c>
      <c r="K15" s="5">
        <v>2</v>
      </c>
      <c r="L15" s="5">
        <v>2</v>
      </c>
      <c r="M15" s="6">
        <f t="shared" si="0"/>
        <v>9</v>
      </c>
      <c r="N15" s="7" t="s">
        <v>88</v>
      </c>
      <c r="O15" s="7" t="s">
        <v>89</v>
      </c>
      <c r="P15" s="3" t="s">
        <v>29</v>
      </c>
    </row>
    <row r="16" spans="1:16" ht="46" customHeight="1">
      <c r="A16" s="1" t="s">
        <v>24</v>
      </c>
      <c r="B16" s="1" t="s">
        <v>25</v>
      </c>
      <c r="C16" s="1">
        <v>3</v>
      </c>
      <c r="D16" s="4">
        <v>46322</v>
      </c>
      <c r="E16" s="3"/>
      <c r="F16" s="3"/>
      <c r="G16" s="8" t="s">
        <v>90</v>
      </c>
      <c r="H16" s="7" t="s">
        <v>91</v>
      </c>
      <c r="I16" s="5">
        <v>3</v>
      </c>
      <c r="J16" s="5">
        <v>1</v>
      </c>
      <c r="K16" s="5">
        <v>2</v>
      </c>
      <c r="L16" s="5">
        <v>1</v>
      </c>
      <c r="M16" s="6">
        <f t="shared" si="0"/>
        <v>7</v>
      </c>
      <c r="N16" s="7" t="s">
        <v>92</v>
      </c>
      <c r="O16" s="7" t="s">
        <v>93</v>
      </c>
      <c r="P16" s="3" t="s">
        <v>29</v>
      </c>
    </row>
  </sheetData>
  <dataValidations count="3">
    <dataValidation type="whole" sqref="I2:J16" xr:uid="{00000000-0002-0000-0000-000000000000}">
      <formula1>0</formula1>
      <formula2>3</formula2>
    </dataValidation>
    <dataValidation type="whole" sqref="K2:L16" xr:uid="{00000000-0002-0000-0000-000001000000}">
      <formula1>0</formula1>
      <formula2>2</formula2>
    </dataValidation>
    <dataValidation type="list" sqref="P2:P16" xr:uid="{00000000-0002-0000-0000-000002000000}">
      <formula1>"Not started,In progress,Complete,Blocked"</formula1>
    </dataValidation>
  </dataValidations>
  <hyperlinks>
    <hyperlink ref="G2" r:id="rId1" xr:uid="{61528C5C-51BD-CB45-9C0F-917C7EC8EDD2}"/>
    <hyperlink ref="G3" r:id="rId2" xr:uid="{1AFE5F8D-3B4B-7042-A44D-EC207A1ABF9A}"/>
    <hyperlink ref="G5" r:id="rId3" xr:uid="{5B6454CA-7B36-A24D-8943-66658DCD92AE}"/>
    <hyperlink ref="G4" r:id="rId4" xr:uid="{923FFDF6-ECCC-744F-8775-9B4BE496781D}"/>
    <hyperlink ref="G6" r:id="rId5" xr:uid="{09BBEB12-3CE2-DD44-A809-F1D56D04FCA9}"/>
    <hyperlink ref="G7" r:id="rId6" xr:uid="{5E41D8E1-EADE-134A-ABCA-AA89DD45B5E4}"/>
    <hyperlink ref="G8" r:id="rId7" xr:uid="{2FCFC7A4-4EEB-BA49-9DD9-05AFA0E752E2}"/>
    <hyperlink ref="G9" r:id="rId8" xr:uid="{B612F0A3-56FD-2045-BDBC-14B06A11E43C}"/>
    <hyperlink ref="G10" r:id="rId9" xr:uid="{B6105F03-11ED-244E-A001-464E5EE6F60F}"/>
    <hyperlink ref="G11" r:id="rId10" xr:uid="{09424AAC-0E77-8046-87A4-7E3BCB74B7EA}"/>
    <hyperlink ref="G12" r:id="rId11" xr:uid="{1F6C83A0-3BE0-1448-8C6D-1E490EA29FC0}"/>
    <hyperlink ref="G13" r:id="rId12" xr:uid="{800568AA-3F61-7B48-A073-8E286158A4F4}"/>
    <hyperlink ref="G14" r:id="rId13" xr:uid="{EFA0368C-B64B-EB40-8AF5-5C71DEDCE19F}"/>
    <hyperlink ref="G15" r:id="rId14" xr:uid="{040EADCB-559D-AB42-846E-CDD433E81231}"/>
    <hyperlink ref="G16" r:id="rId15" xr:uid="{CD8EF39C-782E-D244-8218-7200E2FA330D}"/>
  </hyperlinks>
  <pageMargins left="0.7" right="0.7" top="0.75" bottom="0.75" header="0.3" footer="0.3"/>
  <tableParts count="1">
    <tablePart r:id="rId16"/>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Ratings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Young, Connor</cp:lastModifiedBy>
  <dcterms:modified xsi:type="dcterms:W3CDTF">2026-10-27T18:35:24Z</dcterms:modified>
</cp:coreProperties>
</file>